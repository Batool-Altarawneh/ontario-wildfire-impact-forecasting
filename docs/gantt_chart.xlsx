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ntario-wildfire-analytics\"/>
    </mc:Choice>
  </mc:AlternateContent>
  <xr:revisionPtr revIDLastSave="0" documentId="13_ncr:1_{34DDBAAE-E6C3-452D-BF1F-959A4468EA92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Gantt Chart" sheetId="1" r:id="rId1"/>
    <sheet name="Tools &amp; Techniques" sheetId="2" r:id="rId2"/>
    <sheet name="Timeline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1" l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</calcChain>
</file>

<file path=xl/sharedStrings.xml><?xml version="1.0" encoding="utf-8"?>
<sst xmlns="http://schemas.openxmlformats.org/spreadsheetml/2006/main" count="85" uniqueCount="78">
  <si>
    <t>Assumption: Focused pace, 20+ hrs/week (~4 hrs/day, 5 days/week). Full timeline starts Jul 17, 2026; Sprint 1 extended +2 days for a locally-scheduled Airflow DAG. Academic &amp; Independent Project — dates are planning estimates, not commitments.</t>
  </si>
  <si>
    <t>Phase</t>
  </si>
  <si>
    <t>Sprint / Epic</t>
  </si>
  <si>
    <t>Start Date</t>
  </si>
  <si>
    <t>End Date</t>
  </si>
  <si>
    <t>Duration (business days)</t>
  </si>
  <si>
    <t>Day Offset (from project start)</t>
  </si>
  <si>
    <t>Status</t>
  </si>
  <si>
    <t>Phase 0</t>
  </si>
  <si>
    <t>Requirements Gathering &amp; Discovery</t>
  </si>
  <si>
    <t>Complete</t>
  </si>
  <si>
    <t>Phase 1</t>
  </si>
  <si>
    <t>Product Backlog &amp; Sprint Planning</t>
  </si>
  <si>
    <t>Phase 2</t>
  </si>
  <si>
    <t>Not started</t>
  </si>
  <si>
    <t>Phase 3</t>
  </si>
  <si>
    <t>Phase 4a</t>
  </si>
  <si>
    <t>Phase 4b</t>
  </si>
  <si>
    <t>Phase 5</t>
  </si>
  <si>
    <t>Phase 6</t>
  </si>
  <si>
    <t>Tools &amp; Techniques by Phase</t>
  </si>
  <si>
    <t>Tools</t>
  </si>
  <si>
    <t>Techniques / Methods</t>
  </si>
  <si>
    <t>New Skill Being Validated?</t>
  </si>
  <si>
    <t>Markdown, web research (CWFIS, Environment Canada, Ontario.ca, Air Quality Ontario)</t>
  </si>
  <si>
    <t>Project chartering, non-goals framing, risk identification, user-story writing</t>
  </si>
  <si>
    <t>Markdown / spreadsheet backlog, Git (repo scaffold)</t>
  </si>
  <si>
    <t>Epic/story decomposition, estimation, Definition of Done authoring, sprint sequencing</t>
  </si>
  <si>
    <t>Python (pandas, NumPy), SQL (T-SQL/PostgreSQL), Git, Airflow (local scheduler), CWFIS WFS API, ECCC AQHI GeoMet API</t>
  </si>
  <si>
    <t>Manual + automated data sourcing, star-schema (fact/dim) modeling, EDA, scheduled DAG design with failure handling</t>
  </si>
  <si>
    <t>Python (pandas, scikit-learn)</t>
  </si>
  <si>
    <t>Naive-persistence baseline, moving-average baseline, RMSE/MAE evaluation setup</t>
  </si>
  <si>
    <t>Python, TensorFlow/Keras</t>
  </si>
  <si>
    <t>LSTM conceptual fundamentals (gates, vanishing gradient), time-series windowing, univariate LSTM, dropout/regularization</t>
  </si>
  <si>
    <t>Python, TensorFlow/Keras, scikit-learn (scaling)</t>
  </si>
  <si>
    <t>Multivariate feature engineering (AQI, fire count, temperature, wind), lookback-window design, hyperparameter tuning</t>
  </si>
  <si>
    <t>Python (matplotlib/seaborn), Excel</t>
  </si>
  <si>
    <t>Honest LSTM-vs-baseline comparison across cities, error analysis (incl. underperformance), Agile retrospective</t>
  </si>
  <si>
    <t>Tableau, Markdown / Word</t>
  </si>
  <si>
    <t>Data storytelling &amp; dashboard design, technical writing (README, methodology), public-facing summaries grounded in demonstrated work</t>
  </si>
  <si>
    <t>Timeline Summary</t>
  </si>
  <si>
    <t>Pace assumption</t>
  </si>
  <si>
    <t>Focused, 20+ hrs/week (~4 hrs/day, 5 days/week)</t>
  </si>
  <si>
    <t>Project start</t>
  </si>
  <si>
    <t>Friday, July 17, 2026 (Phase 0, complete)</t>
  </si>
  <si>
    <t>Sprint work begins</t>
  </si>
  <si>
    <t>Tuesday, July 21, 2026 (Phase 1, complete)</t>
  </si>
  <si>
    <t>Scope change</t>
  </si>
  <si>
    <t>Added locally-scheduled Airflow DAG to Sprint 1 — extended Sprint 1 from 8 to 10 days</t>
  </si>
  <si>
    <t>Estimated project end</t>
  </si>
  <si>
    <t>Wednesday, September 9, 2026 (Phase 6 complete)</t>
  </si>
  <si>
    <t>Total business days (Phases 0–6)</t>
  </si>
  <si>
    <t>39 business days (~8 calendar weeks)</t>
  </si>
  <si>
    <t>Framing</t>
  </si>
  <si>
    <t>Academic &amp; Independent Project — dates are planning estimates, self-paced, not fixed commitments</t>
  </si>
  <si>
    <t>Sprint 1: Data Foundation + Airflow DAG</t>
  </si>
  <si>
    <t>Sprint 2: Baseline Modeling</t>
  </si>
  <si>
    <t>Sprint 3: Univariate LSTM Fundamentals</t>
  </si>
  <si>
    <t>Sprint 4: Multivariate LSTM &amp; Tuning</t>
  </si>
  <si>
    <t>Sprint 5: Evaluation &amp; Retrospective</t>
  </si>
  <si>
    <t>Sprint 6: Tableau Story &amp; Documentation</t>
  </si>
  <si>
    <t>Ontario Wildfire Impact &amp; Forecasting Analytics - Project Gantt Chart</t>
  </si>
  <si>
    <t>Phase 0 : Requirements Gathering &amp; Discovery</t>
  </si>
  <si>
    <t>No : planning process, not a technical skill</t>
  </si>
  <si>
    <t>Phase 1 : Product Backlog &amp; Sprint Planning</t>
  </si>
  <si>
    <t>No : Agile process skill, already familiar</t>
  </si>
  <si>
    <t>Phase 2 : Sprint 1: Data Foundation + Airflow DAG</t>
  </si>
  <si>
    <t>Partial : first end-to-end scheduled DAG in this portfolio, reinforcing verified Airflow familiarity</t>
  </si>
  <si>
    <t>Phase 3 : Sprint 2: Baseline Modeling</t>
  </si>
  <si>
    <t>No : reinforcing verified skills</t>
  </si>
  <si>
    <t>Phase 4a : Sprint 3: Univariate LSTM Fundamentals</t>
  </si>
  <si>
    <t>YES : first hands-on TensorFlow/Keras + LSTM implementation</t>
  </si>
  <si>
    <t>Phase 4b : Sprint 4: Multivariate LSTM &amp; Tuning</t>
  </si>
  <si>
    <t>YES : multivariate deep learning, still being validated</t>
  </si>
  <si>
    <t>Phase 5 : Sprint 5: Evaluation &amp; Retrospective</t>
  </si>
  <si>
    <t>No : but validates whether Phase 4 skills actually held up</t>
  </si>
  <si>
    <t>Phase 6 : Sprint 6: Tableau Story &amp; Documentation</t>
  </si>
  <si>
    <t>Partial : first Tableau story of this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</si>
</sst>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&quot;, &quot;yyyy"/>
  </numFmts>
  <fonts count="6" x14ac:knownFonts="1">
    <font>
      <sz val="11"/>
      <color theme="1"/>
      <name val="Calibri"/>
      <family val="2"/>
      <charset val="1"/>
    </font>
    <font>
      <b/>
      <sz val="16"/>
      <color rgb="FF2F5496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2">
    <dxf>
      <fill>
        <patternFill>
          <bgColor rgb="FFF2F2F2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Project Timeline (Gantt View)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Chart'!$F$4</c:f>
              <c:strCache>
                <c:ptCount val="1"/>
                <c:pt idx="0">
                  <c:v>Day Offset (from project start)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Chart'!$B$5:$B$12</c:f>
              <c:strCache>
                <c:ptCount val="8"/>
                <c:pt idx="0">
                  <c:v>Requirements Gathering &amp; Discovery</c:v>
                </c:pt>
                <c:pt idx="1">
                  <c:v>Product Backlog &amp; Sprint Planning</c:v>
                </c:pt>
                <c:pt idx="2">
                  <c:v>Sprint 1: Data Foundation + Airflow DAG</c:v>
                </c:pt>
                <c:pt idx="3">
                  <c:v>Sprint 2: Baseline Modeling</c:v>
                </c:pt>
                <c:pt idx="4">
                  <c:v>Sprint 3: Univariate LSTM Fundamentals</c:v>
                </c:pt>
                <c:pt idx="5">
                  <c:v>Sprint 4: Multivariate LSTM &amp; Tuning</c:v>
                </c:pt>
                <c:pt idx="6">
                  <c:v>Sprint 5: Evaluation &amp; Retrospective</c:v>
                </c:pt>
                <c:pt idx="7">
                  <c:v>Sprint 6: Tableau Story &amp; Documentation</c:v>
                </c:pt>
              </c:strCache>
            </c:strRef>
          </c:cat>
          <c:val>
            <c:numRef>
              <c:f>'Gantt Chart'!$F$5:$F$12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14</c:v>
                </c:pt>
                <c:pt idx="4">
                  <c:v>17</c:v>
                </c:pt>
                <c:pt idx="5">
                  <c:v>23</c:v>
                </c:pt>
                <c:pt idx="6">
                  <c:v>29</c:v>
                </c:pt>
                <c:pt idx="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6-411B-BFC9-D789A846DF62}"/>
            </c:ext>
          </c:extLst>
        </c:ser>
        <c:ser>
          <c:idx val="1"/>
          <c:order val="1"/>
          <c:tx>
            <c:strRef>
              <c:f>'Gantt Chart'!$E$4</c:f>
              <c:strCache>
                <c:ptCount val="1"/>
                <c:pt idx="0">
                  <c:v>Duration (business days)</c:v>
                </c:pt>
              </c:strCache>
            </c:strRef>
          </c:tx>
          <c:spPr>
            <a:solidFill>
              <a:srgbClr val="2F549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Chart'!$B$5:$B$12</c:f>
              <c:strCache>
                <c:ptCount val="8"/>
                <c:pt idx="0">
                  <c:v>Requirements Gathering &amp; Discovery</c:v>
                </c:pt>
                <c:pt idx="1">
                  <c:v>Product Backlog &amp; Sprint Planning</c:v>
                </c:pt>
                <c:pt idx="2">
                  <c:v>Sprint 1: Data Foundation + Airflow DAG</c:v>
                </c:pt>
                <c:pt idx="3">
                  <c:v>Sprint 2: Baseline Modeling</c:v>
                </c:pt>
                <c:pt idx="4">
                  <c:v>Sprint 3: Univariate LSTM Fundamentals</c:v>
                </c:pt>
                <c:pt idx="5">
                  <c:v>Sprint 4: Multivariate LSTM &amp; Tuning</c:v>
                </c:pt>
                <c:pt idx="6">
                  <c:v>Sprint 5: Evaluation &amp; Retrospective</c:v>
                </c:pt>
                <c:pt idx="7">
                  <c:v>Sprint 6: Tableau Story &amp; Documentation</c:v>
                </c:pt>
              </c:strCache>
            </c:strRef>
          </c:cat>
          <c:val>
            <c:numRef>
              <c:f>'Gantt Chart'!$E$5:$E$12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10</c:v>
                </c:pt>
                <c:pt idx="3">
                  <c:v>3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6-411B-BFC9-D789A846D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395590"/>
        <c:axId val="74171886"/>
      </c:barChart>
      <c:catAx>
        <c:axId val="9239559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Business days from project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171886"/>
        <c:crosses val="autoZero"/>
        <c:auto val="1"/>
        <c:lblAlgn val="ctr"/>
        <c:lblOffset val="100"/>
        <c:noMultiLvlLbl val="0"/>
      </c:catAx>
      <c:valAx>
        <c:axId val="741718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3955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9720</xdr:rowOff>
    </xdr:from>
    <xdr:to>
      <xdr:col>6</xdr:col>
      <xdr:colOff>885240</xdr:colOff>
      <xdr:row>31</xdr:row>
      <xdr:rowOff>179280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Normal="100" workbookViewId="0">
      <pane ySplit="4" topLeftCell="A23" activePane="bottomLeft" state="frozen"/>
      <selection pane="bottomLeft" activeCell="B38" sqref="B38"/>
    </sheetView>
  </sheetViews>
  <sheetFormatPr defaultColWidth="8.6640625" defaultRowHeight="14.4" x14ac:dyDescent="0.3"/>
  <cols>
    <col min="1" max="1" width="10" customWidth="1"/>
    <col min="2" max="2" width="40" customWidth="1"/>
    <col min="3" max="4" width="14" customWidth="1"/>
    <col min="5" max="6" width="16" customWidth="1"/>
    <col min="7" max="7" width="14" customWidth="1"/>
  </cols>
  <sheetData>
    <row r="1" spans="1:8" ht="19.5" customHeight="1" x14ac:dyDescent="0.4">
      <c r="A1" s="2" t="s">
        <v>61</v>
      </c>
      <c r="B1" s="2"/>
      <c r="C1" s="2"/>
      <c r="D1" s="2"/>
      <c r="E1" s="2"/>
      <c r="F1" s="2"/>
      <c r="G1" s="2"/>
      <c r="H1" s="2"/>
    </row>
    <row r="2" spans="1:8" ht="15" customHeight="1" x14ac:dyDescent="0.3">
      <c r="A2" s="1" t="s">
        <v>0</v>
      </c>
      <c r="B2" s="1"/>
      <c r="C2" s="1"/>
      <c r="D2" s="1"/>
      <c r="E2" s="1"/>
      <c r="F2" s="1"/>
      <c r="G2" s="1"/>
      <c r="H2" s="1"/>
    </row>
    <row r="4" spans="1:8" ht="39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8" ht="15" customHeight="1" x14ac:dyDescent="0.3">
      <c r="A5" s="4" t="s">
        <v>8</v>
      </c>
      <c r="B5" s="4" t="s">
        <v>9</v>
      </c>
      <c r="C5" s="5">
        <v>46220</v>
      </c>
      <c r="D5" s="5">
        <v>46223</v>
      </c>
      <c r="E5" s="4">
        <f t="shared" ref="E5:E12" si="0">NETWORKDAYS(C5,D5)</f>
        <v>2</v>
      </c>
      <c r="F5" s="4">
        <f t="shared" ref="F5:F12" si="1">NETWORKDAYS($C$5,C5)-1</f>
        <v>0</v>
      </c>
      <c r="G5" s="4" t="s">
        <v>10</v>
      </c>
    </row>
    <row r="6" spans="1:8" ht="15" customHeight="1" x14ac:dyDescent="0.3">
      <c r="A6" s="4" t="s">
        <v>11</v>
      </c>
      <c r="B6" s="4" t="s">
        <v>12</v>
      </c>
      <c r="C6" s="5">
        <v>46224</v>
      </c>
      <c r="D6" s="5">
        <v>46225</v>
      </c>
      <c r="E6" s="4">
        <f t="shared" si="0"/>
        <v>2</v>
      </c>
      <c r="F6" s="4">
        <f t="shared" si="1"/>
        <v>2</v>
      </c>
      <c r="G6" s="4" t="s">
        <v>10</v>
      </c>
    </row>
    <row r="7" spans="1:8" ht="15" customHeight="1" x14ac:dyDescent="0.3">
      <c r="A7" s="4" t="s">
        <v>13</v>
      </c>
      <c r="B7" s="4" t="s">
        <v>55</v>
      </c>
      <c r="C7" s="5">
        <v>46226</v>
      </c>
      <c r="D7" s="5">
        <v>46239</v>
      </c>
      <c r="E7" s="4">
        <f t="shared" si="0"/>
        <v>10</v>
      </c>
      <c r="F7" s="4">
        <f t="shared" si="1"/>
        <v>4</v>
      </c>
      <c r="G7" s="4" t="s">
        <v>14</v>
      </c>
    </row>
    <row r="8" spans="1:8" ht="15" customHeight="1" x14ac:dyDescent="0.3">
      <c r="A8" s="4" t="s">
        <v>15</v>
      </c>
      <c r="B8" s="4" t="s">
        <v>56</v>
      </c>
      <c r="C8" s="5">
        <v>46240</v>
      </c>
      <c r="D8" s="5">
        <v>46244</v>
      </c>
      <c r="E8" s="4">
        <f t="shared" si="0"/>
        <v>3</v>
      </c>
      <c r="F8" s="4">
        <f t="shared" si="1"/>
        <v>14</v>
      </c>
      <c r="G8" s="4" t="s">
        <v>14</v>
      </c>
    </row>
    <row r="9" spans="1:8" ht="15" customHeight="1" x14ac:dyDescent="0.3">
      <c r="A9" s="4" t="s">
        <v>16</v>
      </c>
      <c r="B9" s="4" t="s">
        <v>57</v>
      </c>
      <c r="C9" s="5">
        <v>46245</v>
      </c>
      <c r="D9" s="5">
        <v>46252</v>
      </c>
      <c r="E9" s="4">
        <f t="shared" si="0"/>
        <v>6</v>
      </c>
      <c r="F9" s="4">
        <f t="shared" si="1"/>
        <v>17</v>
      </c>
      <c r="G9" s="4" t="s">
        <v>14</v>
      </c>
    </row>
    <row r="10" spans="1:8" ht="15" customHeight="1" x14ac:dyDescent="0.3">
      <c r="A10" s="4" t="s">
        <v>17</v>
      </c>
      <c r="B10" s="4" t="s">
        <v>58</v>
      </c>
      <c r="C10" s="5">
        <v>46253</v>
      </c>
      <c r="D10" s="5">
        <v>46260</v>
      </c>
      <c r="E10" s="4">
        <f t="shared" si="0"/>
        <v>6</v>
      </c>
      <c r="F10" s="4">
        <f t="shared" si="1"/>
        <v>23</v>
      </c>
      <c r="G10" s="4" t="s">
        <v>14</v>
      </c>
    </row>
    <row r="11" spans="1:8" ht="15" customHeight="1" x14ac:dyDescent="0.3">
      <c r="A11" s="4" t="s">
        <v>18</v>
      </c>
      <c r="B11" s="4" t="s">
        <v>59</v>
      </c>
      <c r="C11" s="5">
        <v>46261</v>
      </c>
      <c r="D11" s="5">
        <v>46266</v>
      </c>
      <c r="E11" s="4">
        <f t="shared" si="0"/>
        <v>4</v>
      </c>
      <c r="F11" s="4">
        <f t="shared" si="1"/>
        <v>29</v>
      </c>
      <c r="G11" s="4" t="s">
        <v>14</v>
      </c>
    </row>
    <row r="12" spans="1:8" ht="15" customHeight="1" x14ac:dyDescent="0.3">
      <c r="A12" s="4" t="s">
        <v>19</v>
      </c>
      <c r="B12" s="4" t="s">
        <v>60</v>
      </c>
      <c r="C12" s="5">
        <v>46267</v>
      </c>
      <c r="D12" s="5">
        <v>46274</v>
      </c>
      <c r="E12" s="4">
        <f t="shared" si="0"/>
        <v>6</v>
      </c>
      <c r="F12" s="4">
        <f t="shared" si="1"/>
        <v>33</v>
      </c>
      <c r="G12" s="4" t="s">
        <v>14</v>
      </c>
    </row>
  </sheetData>
  <mergeCells count="2">
    <mergeCell ref="A1:H1"/>
    <mergeCell ref="A2:H2"/>
  </mergeCells>
  <conditionalFormatting sqref="G5:G12">
    <cfRule type="cellIs" dxfId="1" priority="2" operator="equal">
      <formula>"Complete"</formula>
    </cfRule>
    <cfRule type="cellIs" dxfId="0" priority="3" operator="equal">
      <formula>"Not started"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pane ySplit="3" topLeftCell="A4" activePane="bottomLeft" state="frozen"/>
      <selection pane="bottomLeft" activeCell="D7" sqref="D7"/>
    </sheetView>
  </sheetViews>
  <sheetFormatPr defaultColWidth="8.6640625" defaultRowHeight="14.4" x14ac:dyDescent="0.3"/>
  <cols>
    <col min="1" max="1" width="34" customWidth="1"/>
    <col min="2" max="2" width="40" customWidth="1"/>
    <col min="3" max="3" width="46" customWidth="1"/>
    <col min="4" max="4" width="32" customWidth="1"/>
  </cols>
  <sheetData>
    <row r="1" spans="1:4" ht="19.5" customHeight="1" x14ac:dyDescent="0.4">
      <c r="A1" s="2" t="s">
        <v>20</v>
      </c>
      <c r="B1" s="2"/>
      <c r="C1" s="2"/>
      <c r="D1" s="2"/>
    </row>
    <row r="3" spans="1:4" ht="15" customHeight="1" x14ac:dyDescent="0.3">
      <c r="A3" s="3" t="s">
        <v>1</v>
      </c>
      <c r="B3" s="3" t="s">
        <v>21</v>
      </c>
      <c r="C3" s="3" t="s">
        <v>22</v>
      </c>
      <c r="D3" s="3" t="s">
        <v>23</v>
      </c>
    </row>
    <row r="4" spans="1:4" ht="64.5" customHeight="1" x14ac:dyDescent="0.3">
      <c r="A4" s="6" t="s">
        <v>62</v>
      </c>
      <c r="B4" s="6" t="s">
        <v>24</v>
      </c>
      <c r="C4" s="6" t="s">
        <v>25</v>
      </c>
      <c r="D4" s="6" t="s">
        <v>63</v>
      </c>
    </row>
    <row r="5" spans="1:4" ht="64.5" customHeight="1" x14ac:dyDescent="0.3">
      <c r="A5" s="6" t="s">
        <v>64</v>
      </c>
      <c r="B5" s="6" t="s">
        <v>26</v>
      </c>
      <c r="C5" s="6" t="s">
        <v>27</v>
      </c>
      <c r="D5" s="6" t="s">
        <v>65</v>
      </c>
    </row>
    <row r="6" spans="1:4" ht="64.5" customHeight="1" x14ac:dyDescent="0.3">
      <c r="A6" s="6" t="s">
        <v>66</v>
      </c>
      <c r="B6" s="6" t="s">
        <v>28</v>
      </c>
      <c r="C6" s="6" t="s">
        <v>29</v>
      </c>
      <c r="D6" s="6" t="s">
        <v>67</v>
      </c>
    </row>
    <row r="7" spans="1:4" ht="64.5" customHeight="1" x14ac:dyDescent="0.3">
      <c r="A7" s="6" t="s">
        <v>68</v>
      </c>
      <c r="B7" s="6" t="s">
        <v>30</v>
      </c>
      <c r="C7" s="6" t="s">
        <v>31</v>
      </c>
      <c r="D7" s="6" t="s">
        <v>69</v>
      </c>
    </row>
    <row r="8" spans="1:4" ht="64.5" customHeight="1" x14ac:dyDescent="0.3">
      <c r="A8" s="6" t="s">
        <v>70</v>
      </c>
      <c r="B8" s="6" t="s">
        <v>32</v>
      </c>
      <c r="C8" s="6" t="s">
        <v>33</v>
      </c>
      <c r="D8" s="6" t="s">
        <v>71</v>
      </c>
    </row>
    <row r="9" spans="1:4" ht="64.5" customHeight="1" x14ac:dyDescent="0.3">
      <c r="A9" s="6" t="s">
        <v>72</v>
      </c>
      <c r="B9" s="6" t="s">
        <v>34</v>
      </c>
      <c r="C9" s="6" t="s">
        <v>35</v>
      </c>
      <c r="D9" s="6" t="s">
        <v>73</v>
      </c>
    </row>
    <row r="10" spans="1:4" ht="64.5" customHeight="1" x14ac:dyDescent="0.3">
      <c r="A10" s="6" t="s">
        <v>74</v>
      </c>
      <c r="B10" s="6" t="s">
        <v>36</v>
      </c>
      <c r="C10" s="6" t="s">
        <v>37</v>
      </c>
      <c r="D10" s="6" t="s">
        <v>75</v>
      </c>
    </row>
    <row r="11" spans="1:4" ht="64.5" customHeight="1" x14ac:dyDescent="0.3">
      <c r="A11" s="6" t="s">
        <v>76</v>
      </c>
      <c r="B11" s="6" t="s">
        <v>38</v>
      </c>
      <c r="C11" s="6" t="s">
        <v>39</v>
      </c>
      <c r="D11" s="6" t="s">
        <v>77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Normal="100" workbookViewId="0">
      <selection activeCell="B9" sqref="B9"/>
    </sheetView>
  </sheetViews>
  <sheetFormatPr defaultColWidth="8.6640625" defaultRowHeight="14.4" x14ac:dyDescent="0.3"/>
  <cols>
    <col min="1" max="1" width="30" customWidth="1"/>
    <col min="2" max="2" width="65" customWidth="1"/>
  </cols>
  <sheetData>
    <row r="1" spans="1:3" ht="19.5" customHeight="1" x14ac:dyDescent="0.4">
      <c r="A1" s="2" t="s">
        <v>40</v>
      </c>
      <c r="B1" s="2"/>
      <c r="C1" s="2"/>
    </row>
    <row r="3" spans="1:3" ht="31.5" customHeight="1" x14ac:dyDescent="0.3">
      <c r="A3" s="7" t="s">
        <v>41</v>
      </c>
      <c r="B3" s="6" t="s">
        <v>42</v>
      </c>
    </row>
    <row r="4" spans="1:3" ht="31.5" customHeight="1" x14ac:dyDescent="0.3">
      <c r="A4" s="7" t="s">
        <v>43</v>
      </c>
      <c r="B4" s="6" t="s">
        <v>44</v>
      </c>
    </row>
    <row r="5" spans="1:3" ht="31.5" customHeight="1" x14ac:dyDescent="0.3">
      <c r="A5" s="7" t="s">
        <v>45</v>
      </c>
      <c r="B5" s="6" t="s">
        <v>46</v>
      </c>
    </row>
    <row r="6" spans="1:3" ht="31.5" customHeight="1" x14ac:dyDescent="0.3">
      <c r="A6" s="7" t="s">
        <v>47</v>
      </c>
      <c r="B6" s="6" t="s">
        <v>48</v>
      </c>
    </row>
    <row r="7" spans="1:3" ht="31.5" customHeight="1" x14ac:dyDescent="0.3">
      <c r="A7" s="7" t="s">
        <v>49</v>
      </c>
      <c r="B7" s="6" t="s">
        <v>50</v>
      </c>
    </row>
    <row r="8" spans="1:3" ht="31.5" customHeight="1" x14ac:dyDescent="0.3">
      <c r="A8" s="7" t="s">
        <v>51</v>
      </c>
      <c r="B8" s="6" t="s">
        <v>52</v>
      </c>
    </row>
    <row r="9" spans="1:3" ht="31.5" customHeight="1" x14ac:dyDescent="0.3">
      <c r="A9" s="7" t="s">
        <v>53</v>
      </c>
      <c r="B9" s="6" t="s">
        <v>54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Tools &amp; Techniques</vt:lpstr>
      <vt:lpstr>Timeline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Batool Altarawneh</cp:lastModifiedBy>
  <cp:revision>4</cp:revision>
  <dcterms:created xsi:type="dcterms:W3CDTF">2026-07-17T01:32:40Z</dcterms:created>
  <dcterms:modified xsi:type="dcterms:W3CDTF">2026-07-19T16:58:40Z</dcterms:modified>
  <dc:language>en-US</dc:language>
</cp:coreProperties>
</file>